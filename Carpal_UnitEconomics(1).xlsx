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Owner_KIA_K5" sheetId="2" state="visible" r:id="rId4"/>
    <sheet name="Commission_Scenarios" sheetId="3" state="visible" r:id="rId5"/>
    <sheet name="CapTable_Merv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<sst xmlns="http://schemas.openxmlformats.org/spreadsheetml/2006/main" count="88" uniqueCount="80">
  <si>
    <t xml:space="preserve">CARPAL.KG — Unit Economics</t>
  </si>
  <si>
    <t xml:space="preserve">Все синие ячейки — входные данные, меняй их. Чёрное — формулы. Цены: рынок Бишкека, июнь 2026 (см. источники справа).</t>
  </si>
  <si>
    <t xml:space="preserve">БАЗОВЫЕ ДОПУЩЕНИЯ</t>
  </si>
  <si>
    <t xml:space="preserve">Значение</t>
  </si>
  <si>
    <t xml:space="preserve">Ед.</t>
  </si>
  <si>
    <t xml:space="preserve">Источник / комментарий</t>
  </si>
  <si>
    <t xml:space="preserve">Курс USD/KGS</t>
  </si>
  <si>
    <t xml:space="preserve">KGS</t>
  </si>
  <si>
    <t xml:space="preserve">ЦБ КР, июнь 2026 (ориентир)</t>
  </si>
  <si>
    <t xml:space="preserve">Суточная ставка K5 — рынок (Лалафо/прокат)</t>
  </si>
  <si>
    <t xml:space="preserve">Лалафо ~1400-5000с; Nomad Kia от $70. K5=бизнес-класс</t>
  </si>
  <si>
    <t xml:space="preserve">Суточная ставка K5 — на Carpal (премия за доверие)</t>
  </si>
  <si>
    <t xml:space="preserve">+10% за проверенную сделку, депозит в банке, поддержку</t>
  </si>
  <si>
    <t xml:space="preserve">Загрузка авто на Лалафо (дней/мес)</t>
  </si>
  <si>
    <t xml:space="preserve">дней</t>
  </si>
  <si>
    <t xml:space="preserve">Самостоятельная сдача: низкая загрузка, простои, торг</t>
  </si>
  <si>
    <t xml:space="preserve">Загрузка авто на Carpal (дней/мес)</t>
  </si>
  <si>
    <t xml:space="preserve">Поток туристов + календарь + видимость =&gt; выше utilization</t>
  </si>
  <si>
    <t xml:space="preserve">Средняя длительность аренды</t>
  </si>
  <si>
    <t xml:space="preserve">Туристический трип Бишкек/Иссык-Куль</t>
  </si>
  <si>
    <t xml:space="preserve">Комиссия Carpal с владельца</t>
  </si>
  <si>
    <t xml:space="preserve">%</t>
  </si>
  <si>
    <t xml:space="preserve">Базовый сценарий (см. лист Commission_Scenarios)</t>
  </si>
  <si>
    <t xml:space="preserve">Сервисный сбор с арендатора</t>
  </si>
  <si>
    <t xml:space="preserve">0 в базовом; вариант на листе сценариев</t>
  </si>
  <si>
    <t xml:space="preserve">Расход владельца на сделку (мойка, топливо-овэрхед)</t>
  </si>
  <si>
    <t xml:space="preserve">Оценка на 1 аренду</t>
  </si>
  <si>
    <t xml:space="preserve">Размер депозита (блокировка в банке)</t>
  </si>
  <si>
    <t xml:space="preserve">Не доход; иллюстрация класса авто</t>
  </si>
  <si>
    <t xml:space="preserve">Сколько заработает владелец KIA K5: Лалафо vs Carpal (в месяц)</t>
  </si>
  <si>
    <t xml:space="preserve">Главный аргумент: Carpal не отнимает комиссией — поднимает загрузку и цену. Комиссия берётся из прироста.</t>
  </si>
  <si>
    <t xml:space="preserve">Показатель (в месяц на 1 авто)</t>
  </si>
  <si>
    <t xml:space="preserve">Лалафо (сам)</t>
  </si>
  <si>
    <t xml:space="preserve">Carpal</t>
  </si>
  <si>
    <t xml:space="preserve">Δ</t>
  </si>
  <si>
    <t xml:space="preserve">Суточная ставка, KGS</t>
  </si>
  <si>
    <t xml:space="preserve">Загрузка, дней/мес</t>
  </si>
  <si>
    <t xml:space="preserve">Валовая выручка от аренды, KGS</t>
  </si>
  <si>
    <t xml:space="preserve">Расходы владельца на сделки, KGS</t>
  </si>
  <si>
    <t xml:space="preserve">ЧИСТЫЙ доход владельца, KGS</t>
  </si>
  <si>
    <t xml:space="preserve">Чистый доход владельца, USD</t>
  </si>
  <si>
    <t xml:space="preserve">Прирост дохода владельца на Carpal, %</t>
  </si>
  <si>
    <t xml:space="preserve">ВЫВОД ДЛЯ ВЛАДЕЛЬЦА</t>
  </si>
  <si>
    <t xml:space="preserve">Три модели комиссии — что берёт Carpal с одной аренды (3 дня, K5)</t>
  </si>
  <si>
    <t xml:space="preserve">Считаем доход платформы (доход платформы) на сделку. Синее — ставки, крути их.</t>
  </si>
  <si>
    <t xml:space="preserve">Параметр</t>
  </si>
  <si>
    <t xml:space="preserve">A: 18% с владельца</t>
  </si>
  <si>
    <t xml:space="preserve">B: split 10%+8%</t>
  </si>
  <si>
    <t xml:space="preserve">C: 8% влад + 12% арендатор</t>
  </si>
  <si>
    <t xml:space="preserve">Стоимость аренды (3 дня), KGS</t>
  </si>
  <si>
    <t xml:space="preserve">Комиссия с владельца, %</t>
  </si>
  <si>
    <t xml:space="preserve">Сервисный сбор с арендатора, %</t>
  </si>
  <si>
    <t xml:space="preserve">ДОХОД CARPAL с 1 аренды (доход платформы), KGS</t>
  </si>
  <si>
    <t xml:space="preserve">Доход Carpal с 1 аренды, USD</t>
  </si>
  <si>
    <t xml:space="preserve">МАСШТАБ: доход платформы при росте числа аренд (берёт сценарий A)</t>
  </si>
  <si>
    <t xml:space="preserve">Этап</t>
  </si>
  <si>
    <t xml:space="preserve">Аренд/мес</t>
  </si>
  <si>
    <t xml:space="preserve">Доход Carpal/мес, USD</t>
  </si>
  <si>
    <t xml:space="preserve">Накопл. GMV/мес, USD</t>
  </si>
  <si>
    <t xml:space="preserve">Месяц 1 (beta)</t>
  </si>
  <si>
    <t xml:space="preserve">Месяц 3 (цель tranche2)</t>
  </si>
  <si>
    <t xml:space="preserve">Месяц 6</t>
  </si>
  <si>
    <t xml:space="preserve">Месяц 12 (цель)</t>
  </si>
  <si>
    <t xml:space="preserve">РЕКОМЕНДАЦИЯ ПО КОМИССИИ</t>
  </si>
  <si>
    <t xml:space="preserve">Сценарий B (split 10% владелец + 8% арендатор) — психологически мягче для обеих сторон: владелец видит «всего 10%», арендатор платит сервисный сбор за гарантию (как Booking/Airbnb). Суммарный доход платформы тот же ~18%, но оба чувствуют справедливость. На старте — 0% владельцу для набора supply, сбор с арендатора оставить (турист платит за доверие охотно).</t>
  </si>
  <si>
    <t xml:space="preserve">Доля Mervey (35% капитала) — возврат с прибыли</t>
  </si>
  <si>
    <t xml:space="preserve">35% — доля в КАПИТАЛЕ, не в выручке. Возврат считается с прибыли. Синее — входные ставки.</t>
  </si>
  <si>
    <t xml:space="preserve">ВХОДНЫЕ ДАННЫЕ</t>
  </si>
  <si>
    <t xml:space="preserve">Доход платформы, мес.12 годовой темп, USD/год</t>
  </si>
  <si>
    <t xml:space="preserve">Доля Mervey в капитале</t>
  </si>
  <si>
    <t xml:space="preserve">СЦЕНАРИИ ОПЕРАЦИОННОЙ МАРЖИ</t>
  </si>
  <si>
    <t xml:space="preserve">Сценарий</t>
  </si>
  <si>
    <t xml:space="preserve">Маржа</t>
  </si>
  <si>
    <t xml:space="preserve">Прибыль/год</t>
  </si>
  <si>
    <t xml:space="preserve">Доля Mervey/год</t>
  </si>
  <si>
    <t xml:space="preserve">Консервативный (ранняя стадия)</t>
  </si>
  <si>
    <t xml:space="preserve">Базовый (зрелый marketplace)</t>
  </si>
  <si>
    <t xml:space="preserve">Оптимистичный (автоматизация)</t>
  </si>
  <si>
    <t xml:space="preserve">ПРИМЕЧАНИЕ</t>
  </si>
  <si>
    <t xml:space="preserve">Это годовой денежный поток на доле, не разовая выплата. Главная стоимость доли Mervey — 35% капитала растущей компании: при раунде или выходе стоимость доли кратно превышает годовой возврат. На стадии первого транша прибыль реинвестируется в рост — дивидендов нет по плану.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</si>
</sst>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"/>
    <numFmt numFmtId="168" formatCode="\$#,##0.0"/>
    <numFmt numFmtId="169" formatCode="\$#,##0"/>
    <numFmt numFmtId="170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6FB0"/>
        <bgColor rgb="FF0066CC"/>
      </patternFill>
    </fill>
    <fill>
      <patternFill patternType="solid">
        <fgColor rgb="FFFFF6CC"/>
        <bgColor rgb="FFF3F4F6"/>
      </patternFill>
    </fill>
    <fill>
      <patternFill patternType="solid">
        <fgColor rgb="FF1F2A44"/>
        <bgColor rgb="FF003366"/>
      </patternFill>
    </fill>
    <fill>
      <patternFill patternType="solid">
        <fgColor rgb="FFE3F0E3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F3F4F6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E3"/>
      <rgbColor rgb="FFFFFF99"/>
      <rgbColor rgb="FF99CCFF"/>
      <rgbColor rgb="FFFF99CC"/>
      <rgbColor rgb="FFCC99FF"/>
      <rgbColor rgb="FFFFCC99"/>
      <rgbColor rgb="FF2E6FB0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8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  <c r="D5" s="5" t="s">
        <v>4</v>
      </c>
      <c r="E5" s="5" t="s">
        <v>5</v>
      </c>
    </row>
    <row r="6" customFormat="false" ht="15" hidden="false" customHeight="true" outlineLevel="0" collapsed="false">
      <c r="B6" s="6" t="s">
        <v>6</v>
      </c>
      <c r="C6" s="7" t="n">
        <v>87.5</v>
      </c>
      <c r="D6" s="8" t="s">
        <v>7</v>
      </c>
      <c r="E6" s="9" t="s">
        <v>8</v>
      </c>
    </row>
    <row r="7" customFormat="false" ht="15" hidden="false" customHeight="true" outlineLevel="0" collapsed="false">
      <c r="B7" s="6" t="s">
        <v>9</v>
      </c>
      <c r="C7" s="7" t="n">
        <v>5000</v>
      </c>
      <c r="D7" s="8" t="s">
        <v>7</v>
      </c>
      <c r="E7" s="9" t="s">
        <v>10</v>
      </c>
    </row>
    <row r="8" customFormat="false" ht="15" hidden="false" customHeight="true" outlineLevel="0" collapsed="false">
      <c r="B8" s="6" t="s">
        <v>11</v>
      </c>
      <c r="C8" s="7" t="n">
        <v>5500</v>
      </c>
      <c r="D8" s="8" t="s">
        <v>7</v>
      </c>
      <c r="E8" s="9" t="s">
        <v>12</v>
      </c>
    </row>
    <row r="9" customFormat="false" ht="15" hidden="false" customHeight="true" outlineLevel="0" collapsed="false">
      <c r="B9" s="6" t="s">
        <v>13</v>
      </c>
      <c r="C9" s="10" t="n">
        <v>8</v>
      </c>
      <c r="D9" s="8" t="s">
        <v>14</v>
      </c>
      <c r="E9" s="9" t="s">
        <v>15</v>
      </c>
    </row>
    <row r="10" customFormat="false" ht="21.75" hidden="false" customHeight="true" outlineLevel="0" collapsed="false">
      <c r="B10" s="6" t="s">
        <v>16</v>
      </c>
      <c r="C10" s="10" t="n">
        <v>13</v>
      </c>
      <c r="D10" s="8" t="s">
        <v>14</v>
      </c>
      <c r="E10" s="9" t="s">
        <v>17</v>
      </c>
    </row>
    <row r="11" customFormat="false" ht="15" hidden="false" customHeight="true" outlineLevel="0" collapsed="false">
      <c r="B11" s="6" t="s">
        <v>18</v>
      </c>
      <c r="C11" s="10" t="n">
        <v>3</v>
      </c>
      <c r="D11" s="8" t="s">
        <v>14</v>
      </c>
      <c r="E11" s="9" t="s">
        <v>19</v>
      </c>
    </row>
    <row r="12" customFormat="false" ht="15" hidden="false" customHeight="true" outlineLevel="0" collapsed="false">
      <c r="B12" s="6" t="s">
        <v>20</v>
      </c>
      <c r="C12" s="11" t="n">
        <v>0.18</v>
      </c>
      <c r="D12" s="8" t="s">
        <v>21</v>
      </c>
      <c r="E12" s="9" t="s">
        <v>22</v>
      </c>
    </row>
    <row r="13" customFormat="false" ht="15" hidden="false" customHeight="true" outlineLevel="0" collapsed="false">
      <c r="B13" s="6" t="s">
        <v>23</v>
      </c>
      <c r="C13" s="11" t="n">
        <v>0</v>
      </c>
      <c r="D13" s="8" t="s">
        <v>21</v>
      </c>
      <c r="E13" s="9" t="s">
        <v>24</v>
      </c>
    </row>
    <row r="14" customFormat="false" ht="23.25" hidden="false" customHeight="true" outlineLevel="0" collapsed="false">
      <c r="B14" s="6" t="s">
        <v>25</v>
      </c>
      <c r="C14" s="7" t="n">
        <v>300</v>
      </c>
      <c r="D14" s="8" t="s">
        <v>7</v>
      </c>
      <c r="E14" s="9" t="s">
        <v>26</v>
      </c>
    </row>
    <row r="15" customFormat="false" ht="15" hidden="false" customHeight="true" outlineLevel="0" collapsed="false">
      <c r="B15" s="6" t="s">
        <v>27</v>
      </c>
      <c r="C15" s="7" t="n">
        <v>30000</v>
      </c>
      <c r="D15" s="8" t="s">
        <v>7</v>
      </c>
      <c r="E15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4" min="3" style="1" width="18"/>
    <col collapsed="false" customWidth="true" hidden="false" outlineLevel="0" max="5" min="5" style="1" width="16"/>
  </cols>
  <sheetData>
    <row r="2" customFormat="false" ht="17.25" hidden="false" customHeight="true" outlineLevel="0" collapsed="false">
      <c r="B2" s="2" t="s">
        <v>29</v>
      </c>
    </row>
    <row r="3" customFormat="false" ht="15" hidden="false" customHeight="true" outlineLevel="0" collapsed="false">
      <c r="B3" s="3" t="s">
        <v>30</v>
      </c>
    </row>
    <row r="5" customFormat="false" ht="15" hidden="false" customHeight="true" outlineLevel="0" collapsed="false">
      <c r="B5" s="12" t="s">
        <v>31</v>
      </c>
      <c r="C5" s="12" t="s">
        <v>32</v>
      </c>
      <c r="D5" s="12" t="s">
        <v>33</v>
      </c>
      <c r="E5" s="12" t="s">
        <v>34</v>
      </c>
    </row>
    <row r="6" customFormat="false" ht="15" hidden="false" customHeight="true" outlineLevel="0" collapsed="false">
      <c r="B6" s="6" t="s">
        <v>35</v>
      </c>
      <c r="C6" s="13" t="n">
        <f aca="false">Assumptions!C7</f>
        <v>5000</v>
      </c>
      <c r="D6" s="13" t="n">
        <f aca="false">Assumptions!C8</f>
        <v>5500</v>
      </c>
      <c r="E6" s="14" t="n">
        <f aca="false">D6-C6</f>
        <v>500</v>
      </c>
    </row>
    <row r="7" customFormat="false" ht="15" hidden="false" customHeight="true" outlineLevel="0" collapsed="false">
      <c r="B7" s="6" t="s">
        <v>36</v>
      </c>
      <c r="C7" s="15" t="n">
        <f aca="false">Assumptions!C9</f>
        <v>8</v>
      </c>
      <c r="D7" s="15" t="n">
        <f aca="false">Assumptions!C10</f>
        <v>13</v>
      </c>
      <c r="E7" s="16" t="n">
        <f aca="false">D7-C7</f>
        <v>5</v>
      </c>
    </row>
    <row r="8" customFormat="false" ht="15" hidden="false" customHeight="true" outlineLevel="0" collapsed="false">
      <c r="B8" s="6" t="s">
        <v>37</v>
      </c>
      <c r="C8" s="13" t="n">
        <f aca="false">C6*C7</f>
        <v>40000</v>
      </c>
      <c r="D8" s="13" t="n">
        <f aca="false">D6*D7</f>
        <v>71500</v>
      </c>
      <c r="E8" s="14" t="n">
        <f aca="false">D8-C8</f>
        <v>31500</v>
      </c>
    </row>
    <row r="9" customFormat="false" ht="15" hidden="false" customHeight="true" outlineLevel="0" collapsed="false">
      <c r="B9" s="6" t="s">
        <v>20</v>
      </c>
      <c r="C9" s="13" t="n">
        <f aca="false">0</f>
        <v>0</v>
      </c>
      <c r="D9" s="13" t="n">
        <f aca="false">D8*Assumptions!C12</f>
        <v>12870</v>
      </c>
      <c r="E9" s="14" t="n">
        <f aca="false">D9-C9</f>
        <v>12870</v>
      </c>
    </row>
    <row r="10" customFormat="false" ht="15" hidden="false" customHeight="true" outlineLevel="0" collapsed="false">
      <c r="B10" s="6" t="s">
        <v>38</v>
      </c>
      <c r="C10" s="13" t="n">
        <f aca="false">(C7/Assumptions!C11)*Assumptions!C14</f>
        <v>800</v>
      </c>
      <c r="D10" s="13" t="n">
        <f aca="false">(D7/Assumptions!C11)*Assumptions!C14</f>
        <v>1300</v>
      </c>
      <c r="E10" s="14" t="n">
        <f aca="false">D10-C10</f>
        <v>500</v>
      </c>
    </row>
    <row r="11" customFormat="false" ht="15" hidden="false" customHeight="true" outlineLevel="0" collapsed="false">
      <c r="B11" s="17" t="s">
        <v>39</v>
      </c>
      <c r="C11" s="18" t="n">
        <f aca="false">C8-C9-C10</f>
        <v>39200</v>
      </c>
      <c r="D11" s="18" t="n">
        <f aca="false">D8-D9-D10</f>
        <v>57330</v>
      </c>
      <c r="E11" s="19" t="n">
        <f aca="false">D11-C11</f>
        <v>18130</v>
      </c>
    </row>
    <row r="12" customFormat="false" ht="15" hidden="false" customHeight="true" outlineLevel="0" collapsed="false">
      <c r="B12" s="20" t="s">
        <v>40</v>
      </c>
      <c r="C12" s="18" t="n">
        <f aca="false">C11/Assumptions!C6</f>
        <v>448</v>
      </c>
      <c r="D12" s="18" t="n">
        <f aca="false">D11/Assumptions!C6</f>
        <v>655.2</v>
      </c>
      <c r="E12" s="19" t="n">
        <f aca="false">D12-C12</f>
        <v>207.2</v>
      </c>
    </row>
    <row r="14" customFormat="false" ht="15" hidden="false" customHeight="true" outlineLevel="0" collapsed="false">
      <c r="B14" s="21" t="s">
        <v>41</v>
      </c>
      <c r="C14" s="22"/>
      <c r="D14" s="11" t="n">
        <f aca="false">D11/C11-1</f>
        <v>0.4625</v>
      </c>
      <c r="E14" s="22"/>
    </row>
    <row r="16" customFormat="false" ht="15" hidden="false" customHeight="true" outlineLevel="0" collapsed="false">
      <c r="B16" s="23" t="s">
        <v>42</v>
      </c>
      <c r="C16" s="24"/>
      <c r="D16" s="24"/>
      <c r="E16" s="24"/>
    </row>
    <row r="17" customFormat="false" ht="23.25" hidden="false" customHeight="true" outlineLevel="0" collapsed="false">
      <c r="B17" s="25" t="str">
        <f aca="false">"Даже отдавая " &amp; TEXT(Assumptions!C12,"0%") &amp; " комиссии, владелец зарабатывает на " &amp; TEXT(D14,"0%") &amp; " БОЛЬШЕ, чем на Лалафо — за счёт загрузки и цены."</f>
        <v>Даже отдавая 18% комиссии, владелец зарабатывает на 46% БОЛЬШЕ, чем на Лалафо — за счёт загрузки и цены.</v>
      </c>
      <c r="C17" s="25"/>
      <c r="D17" s="25"/>
      <c r="E17" s="25"/>
    </row>
  </sheetData>
  <mergeCells count="1"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5" min="3" style="1" width="20"/>
  </cols>
  <sheetData>
    <row r="2" customFormat="false" ht="17.25" hidden="false" customHeight="true" outlineLevel="0" collapsed="false">
      <c r="B2" s="2" t="s">
        <v>43</v>
      </c>
    </row>
    <row r="3" customFormat="false" ht="15" hidden="false" customHeight="true" outlineLevel="0" collapsed="false">
      <c r="B3" s="3" t="s">
        <v>44</v>
      </c>
    </row>
    <row r="5" customFormat="false" ht="15" hidden="false" customHeight="true" outlineLevel="0" collapsed="false">
      <c r="B5" s="12" t="s">
        <v>45</v>
      </c>
      <c r="C5" s="12" t="s">
        <v>46</v>
      </c>
      <c r="D5" s="12" t="s">
        <v>47</v>
      </c>
      <c r="E5" s="12" t="s">
        <v>48</v>
      </c>
    </row>
    <row r="6" customFormat="false" ht="15" hidden="false" customHeight="true" outlineLevel="0" collapsed="false">
      <c r="B6" s="6" t="s">
        <v>49</v>
      </c>
      <c r="C6" s="13" t="n">
        <f aca="false">Assumptions!C8*Assumptions!C11</f>
        <v>16500</v>
      </c>
      <c r="D6" s="13" t="n">
        <f aca="false">Assumptions!C8*Assumptions!C11</f>
        <v>16500</v>
      </c>
      <c r="E6" s="13" t="n">
        <f aca="false">Assumptions!C8*Assumptions!C11</f>
        <v>16500</v>
      </c>
    </row>
    <row r="7" customFormat="false" ht="15" hidden="false" customHeight="true" outlineLevel="0" collapsed="false">
      <c r="B7" s="6" t="s">
        <v>50</v>
      </c>
      <c r="C7" s="11" t="n">
        <v>0.18</v>
      </c>
      <c r="D7" s="11" t="n">
        <v>0.1</v>
      </c>
      <c r="E7" s="11" t="n">
        <v>0.08</v>
      </c>
    </row>
    <row r="8" customFormat="false" ht="15" hidden="false" customHeight="true" outlineLevel="0" collapsed="false">
      <c r="B8" s="6" t="s">
        <v>51</v>
      </c>
      <c r="C8" s="11" t="n">
        <v>0</v>
      </c>
      <c r="D8" s="11" t="n">
        <v>0.08</v>
      </c>
      <c r="E8" s="11" t="n">
        <v>0.12</v>
      </c>
    </row>
    <row r="9" customFormat="false" ht="15" hidden="false" customHeight="true" outlineLevel="0" collapsed="false">
      <c r="B9" s="17" t="s">
        <v>52</v>
      </c>
      <c r="C9" s="19" t="n">
        <f aca="false">C6*C7+C6*C8</f>
        <v>2970</v>
      </c>
      <c r="D9" s="19" t="n">
        <f aca="false">D6*D7+D6*D8</f>
        <v>2970</v>
      </c>
      <c r="E9" s="19" t="n">
        <f aca="false">E6*E7+E6*E8</f>
        <v>3300</v>
      </c>
    </row>
    <row r="10" customFormat="false" ht="15" hidden="false" customHeight="true" outlineLevel="0" collapsed="false">
      <c r="B10" s="6" t="s">
        <v>53</v>
      </c>
      <c r="C10" s="26" t="n">
        <f aca="false">C9/Assumptions!C6</f>
        <v>33.9428571428571</v>
      </c>
      <c r="D10" s="26" t="n">
        <f aca="false">D9/Assumptions!C6</f>
        <v>33.9428571428571</v>
      </c>
      <c r="E10" s="26" t="n">
        <f aca="false">E9/Assumptions!C6</f>
        <v>37.7142857142857</v>
      </c>
    </row>
    <row r="13" customFormat="false" ht="15" hidden="false" customHeight="true" outlineLevel="0" collapsed="false">
      <c r="B13" s="4" t="s">
        <v>54</v>
      </c>
      <c r="C13" s="27"/>
      <c r="D13" s="27"/>
      <c r="E13" s="27"/>
    </row>
    <row r="14" customFormat="false" ht="15" hidden="false" customHeight="true" outlineLevel="0" collapsed="false">
      <c r="B14" s="12" t="s">
        <v>55</v>
      </c>
      <c r="C14" s="12" t="s">
        <v>56</v>
      </c>
      <c r="D14" s="12" t="s">
        <v>57</v>
      </c>
      <c r="E14" s="12" t="s">
        <v>58</v>
      </c>
    </row>
    <row r="15" customFormat="false" ht="15" hidden="false" customHeight="true" outlineLevel="0" collapsed="false">
      <c r="B15" s="6" t="s">
        <v>59</v>
      </c>
      <c r="C15" s="10" t="n">
        <v>10</v>
      </c>
      <c r="D15" s="28" t="n">
        <f aca="false">C15*$C$10</f>
        <v>339.428571428571</v>
      </c>
      <c r="E15" s="28" t="n">
        <f aca="false">C15*$C$6/Assumptions!C6</f>
        <v>1885.71428571429</v>
      </c>
    </row>
    <row r="16" customFormat="false" ht="15" hidden="false" customHeight="true" outlineLevel="0" collapsed="false">
      <c r="B16" s="6" t="s">
        <v>60</v>
      </c>
      <c r="C16" s="10" t="n">
        <v>30</v>
      </c>
      <c r="D16" s="28" t="n">
        <f aca="false">C16*$C$10</f>
        <v>1018.28571428571</v>
      </c>
      <c r="E16" s="28" t="n">
        <f aca="false">C16*$C$6/Assumptions!C6</f>
        <v>5657.14285714286</v>
      </c>
    </row>
    <row r="17" customFormat="false" ht="15" hidden="false" customHeight="true" outlineLevel="0" collapsed="false">
      <c r="B17" s="6" t="s">
        <v>61</v>
      </c>
      <c r="C17" s="10" t="n">
        <v>80</v>
      </c>
      <c r="D17" s="28" t="n">
        <f aca="false">C17*$C$10</f>
        <v>2715.42857142857</v>
      </c>
      <c r="E17" s="28" t="n">
        <f aca="false">C17*$C$6/Assumptions!C6</f>
        <v>15085.7142857143</v>
      </c>
    </row>
    <row r="18" customFormat="false" ht="15" hidden="false" customHeight="true" outlineLevel="0" collapsed="false">
      <c r="B18" s="6" t="s">
        <v>62</v>
      </c>
      <c r="C18" s="10" t="n">
        <v>250</v>
      </c>
      <c r="D18" s="28" t="n">
        <f aca="false">C18*$C$10</f>
        <v>8485.71428571429</v>
      </c>
      <c r="E18" s="28" t="n">
        <f aca="false">C18*$C$6/Assumptions!C6</f>
        <v>47142.8571428571</v>
      </c>
    </row>
    <row r="21" customFormat="false" ht="15" hidden="false" customHeight="true" outlineLevel="0" collapsed="false">
      <c r="B21" s="23" t="s">
        <v>63</v>
      </c>
      <c r="C21" s="24"/>
      <c r="D21" s="24"/>
      <c r="E21" s="24"/>
    </row>
    <row r="22" customFormat="false" ht="15" hidden="false" customHeight="true" outlineLevel="0" collapsed="false">
      <c r="B22" s="29" t="s">
        <v>64</v>
      </c>
      <c r="C22" s="29"/>
      <c r="D22" s="29"/>
      <c r="E22" s="29"/>
    </row>
    <row r="23" customFormat="false" ht="15" hidden="false" customHeight="true" outlineLevel="0" collapsed="false">
      <c r="B23" s="29"/>
      <c r="C23" s="29"/>
      <c r="D23" s="29"/>
      <c r="E23" s="29"/>
    </row>
    <row r="24" customFormat="false" ht="15" hidden="false" customHeight="true" outlineLevel="0" collapsed="false">
      <c r="B24" s="29"/>
      <c r="C24" s="29"/>
      <c r="D24" s="29"/>
      <c r="E24" s="29"/>
    </row>
    <row r="25" customFormat="false" ht="15" hidden="false" customHeight="true" outlineLevel="0" collapsed="false">
      <c r="B25" s="29"/>
      <c r="C25" s="29"/>
      <c r="D25" s="29"/>
      <c r="E25" s="29"/>
    </row>
  </sheetData>
  <mergeCells count="1">
    <mergeCell ref="B22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5" min="3" style="1" width="18"/>
  </cols>
  <sheetData>
    <row r="2" customFormat="false" ht="17.25" hidden="false" customHeight="true" outlineLevel="0" collapsed="false">
      <c r="B2" s="2" t="s">
        <v>65</v>
      </c>
    </row>
    <row r="3" customFormat="false" ht="15" hidden="false" customHeight="true" outlineLevel="0" collapsed="false">
      <c r="B3" s="3" t="s">
        <v>66</v>
      </c>
    </row>
    <row r="5" customFormat="false" ht="15" hidden="false" customHeight="true" outlineLevel="0" collapsed="false">
      <c r="B5" s="4" t="s">
        <v>67</v>
      </c>
      <c r="C5" s="27"/>
      <c r="D5" s="27"/>
      <c r="E5" s="27"/>
    </row>
    <row r="6" customFormat="false" ht="15" hidden="false" customHeight="true" outlineLevel="0" collapsed="false">
      <c r="B6" s="6" t="s">
        <v>68</v>
      </c>
      <c r="C6" s="7" t="n">
        <v>101832</v>
      </c>
    </row>
    <row r="7" customFormat="false" ht="15" hidden="false" customHeight="true" outlineLevel="0" collapsed="false">
      <c r="B7" s="6" t="s">
        <v>69</v>
      </c>
      <c r="C7" s="30" t="n">
        <v>0.35</v>
      </c>
    </row>
    <row r="9" customFormat="false" ht="15" hidden="false" customHeight="true" outlineLevel="0" collapsed="false">
      <c r="B9" s="4" t="s">
        <v>70</v>
      </c>
      <c r="C9" s="27"/>
      <c r="D9" s="27"/>
      <c r="E9" s="27"/>
    </row>
    <row r="10" customFormat="false" ht="15" hidden="false" customHeight="true" outlineLevel="0" collapsed="false">
      <c r="B10" s="12" t="s">
        <v>71</v>
      </c>
      <c r="C10" s="12" t="s">
        <v>72</v>
      </c>
      <c r="D10" s="12" t="s">
        <v>73</v>
      </c>
      <c r="E10" s="12" t="s">
        <v>74</v>
      </c>
    </row>
    <row r="11" customFormat="false" ht="15" hidden="false" customHeight="true" outlineLevel="0" collapsed="false">
      <c r="B11" s="6" t="s">
        <v>75</v>
      </c>
      <c r="C11" s="30" t="n">
        <v>0.2</v>
      </c>
      <c r="D11" s="28" t="n">
        <f aca="false">$C$6*C11</f>
        <v>20366.4</v>
      </c>
      <c r="E11" s="31" t="n">
        <f aca="false">D11*$C$7</f>
        <v>7128.24</v>
      </c>
    </row>
    <row r="12" customFormat="false" ht="15" hidden="false" customHeight="true" outlineLevel="0" collapsed="false">
      <c r="B12" s="20" t="s">
        <v>76</v>
      </c>
      <c r="C12" s="32" t="n">
        <v>0.35</v>
      </c>
      <c r="D12" s="33" t="n">
        <f aca="false">$C$6*C12</f>
        <v>35641.2</v>
      </c>
      <c r="E12" s="34" t="n">
        <f aca="false">D12*$C$7</f>
        <v>12474.42</v>
      </c>
    </row>
    <row r="13" customFormat="false" ht="15" hidden="false" customHeight="true" outlineLevel="0" collapsed="false">
      <c r="B13" s="6" t="s">
        <v>77</v>
      </c>
      <c r="C13" s="30" t="n">
        <v>0.5</v>
      </c>
      <c r="D13" s="28" t="n">
        <f aca="false">$C$6*C13</f>
        <v>50916</v>
      </c>
      <c r="E13" s="31" t="n">
        <f aca="false">D13*$C$7</f>
        <v>17820.6</v>
      </c>
    </row>
    <row r="16" customFormat="false" ht="15" hidden="false" customHeight="true" outlineLevel="0" collapsed="false">
      <c r="B16" s="23" t="s">
        <v>78</v>
      </c>
      <c r="C16" s="24"/>
      <c r="D16" s="24"/>
      <c r="E16" s="24"/>
    </row>
    <row r="17" customFormat="false" ht="15" hidden="false" customHeight="true" outlineLevel="0" collapsed="false">
      <c r="B17" s="29" t="s">
        <v>79</v>
      </c>
      <c r="C17" s="29"/>
      <c r="D17" s="29"/>
      <c r="E17" s="29"/>
    </row>
    <row r="18" customFormat="false" ht="15" hidden="false" customHeight="true" outlineLevel="0" collapsed="false">
      <c r="B18" s="29"/>
      <c r="C18" s="29"/>
      <c r="D18" s="29"/>
      <c r="E18" s="29"/>
    </row>
    <row r="19" customFormat="false" ht="15" hidden="false" customHeight="true" outlineLevel="0" collapsed="false">
      <c r="B19" s="29"/>
      <c r="C19" s="29"/>
      <c r="D19" s="29"/>
      <c r="E19" s="29"/>
    </row>
    <row r="20" customFormat="false" ht="15" hidden="false" customHeight="true" outlineLevel="0" collapsed="false">
      <c r="B20" s="29"/>
      <c r="C20" s="29"/>
      <c r="D20" s="29"/>
      <c r="E20" s="29"/>
    </row>
  </sheetData>
  <mergeCells count="1">
    <mergeCell ref="B17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2026-06-01T21:36:33Z</dcterms:created>
  <dc:creator>openpyxl</dc:creator>
  <dc:description/>
  <dc:language>en-US</dc:language>
  <cp:lastModifiedBy/>
  <dcterms:modified xsi:type="dcterms:W3CDTF">2026-06-02T07:04:43Z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